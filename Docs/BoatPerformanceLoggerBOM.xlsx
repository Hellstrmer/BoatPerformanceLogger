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espe\Documents\PlatformIO\Projects\BoatPerformanceLogger\"/>
    </mc:Choice>
  </mc:AlternateContent>
  <xr:revisionPtr revIDLastSave="0" documentId="8_{482D411B-B9A1-45A0-8805-CA4A2CDFAD25}" xr6:coauthVersionLast="47" xr6:coauthVersionMax="47" xr10:uidLastSave="{00000000-0000-0000-0000-000000000000}"/>
  <bookViews>
    <workbookView xWindow="-120" yWindow="-120" windowWidth="38640" windowHeight="21120" xr2:uid="{D7228C54-2EA5-4596-A6B2-9B57DAF4E7B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3" i="1" l="1"/>
  <c r="G3" i="1"/>
  <c r="C11" i="1"/>
  <c r="D11" i="1" s="1"/>
  <c r="C10" i="1"/>
  <c r="D10" i="1" s="1"/>
  <c r="C8" i="1"/>
  <c r="C9" i="1"/>
  <c r="D8" i="1"/>
  <c r="D9" i="1"/>
  <c r="C7" i="1"/>
  <c r="D7" i="1" s="1"/>
  <c r="D6" i="1"/>
  <c r="C5" i="1"/>
  <c r="D5" i="1"/>
</calcChain>
</file>

<file path=xl/sharedStrings.xml><?xml version="1.0" encoding="utf-8"?>
<sst xmlns="http://schemas.openxmlformats.org/spreadsheetml/2006/main" count="28" uniqueCount="25">
  <si>
    <t>BoatPerformanceLogger - PlutoidEngineering</t>
  </si>
  <si>
    <t>Produkt</t>
  </si>
  <si>
    <t>Pris</t>
  </si>
  <si>
    <t>Antal</t>
  </si>
  <si>
    <t>Totalt</t>
  </si>
  <si>
    <t>Länk</t>
  </si>
  <si>
    <t>Optokopplare PC817</t>
  </si>
  <si>
    <t>Kommentar</t>
  </si>
  <si>
    <t>https://www.aliexpress.com/item/1005009749319357.html</t>
  </si>
  <si>
    <t>100 pack</t>
  </si>
  <si>
    <t>Har hemma. Prova med 1K, 2.2K, 4.7K, 10K</t>
  </si>
  <si>
    <t>https://www.aliexpress.com/item/32887622491.html</t>
  </si>
  <si>
    <t>Zenerdiod 5.6v</t>
  </si>
  <si>
    <t>Motstånd Optokopplare</t>
  </si>
  <si>
    <t>Pullup motstånd 10K</t>
  </si>
  <si>
    <t>Har hemma.</t>
  </si>
  <si>
    <t>Seriemotstånd 1K (ESP)</t>
  </si>
  <si>
    <t>Inköpslista - RPM</t>
  </si>
  <si>
    <t>Total:</t>
  </si>
  <si>
    <t>Kondensator RC-filter (ESP)</t>
  </si>
  <si>
    <t>https://www.aliexpress.com/item/1005007539739970.html</t>
  </si>
  <si>
    <t>https://www.aliexpress.com/item/1005012101183116.html</t>
  </si>
  <si>
    <t>TVS-Diod</t>
  </si>
  <si>
    <t>10 pack</t>
  </si>
  <si>
    <t>Styck: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</si>
</sst>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£&quot;* #,##0.00_-;\-&quot;£&quot;* #,##0.00_-;_-&quot;£&quot;* &quot;-&quot;??_-;_-@_-"/>
    <numFmt numFmtId="170" formatCode="_-[$SEK]\ * #,##0.00_-;\-[$SEK]\ * #,##0.00_-;_-[$SEK]\ * &quot;-&quot;??_-;_-@_-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20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6">
    <xf numFmtId="0" fontId="0" fillId="0" borderId="0" xfId="0"/>
    <xf numFmtId="0" fontId="2" fillId="2" borderId="0" xfId="0" applyFont="1" applyFill="1" applyAlignment="1">
      <alignment horizontal="center"/>
    </xf>
    <xf numFmtId="170" fontId="0" fillId="0" borderId="0" xfId="0" applyNumberFormat="1"/>
    <xf numFmtId="0" fontId="2" fillId="2" borderId="0" xfId="0" applyFont="1" applyFill="1" applyAlignment="1"/>
    <xf numFmtId="170" fontId="2" fillId="2" borderId="0" xfId="0" applyNumberFormat="1" applyFont="1" applyFill="1" applyAlignment="1"/>
    <xf numFmtId="170" fontId="0" fillId="0" borderId="0" xfId="1" applyNumberFormat="1" applyFont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F0C6E-83BB-40B4-9912-9C1BD6C95FB8}">
  <dimension ref="A1:I19"/>
  <sheetViews>
    <sheetView tabSelected="1" workbookViewId="0">
      <selection activeCell="E24" sqref="E24"/>
    </sheetView>
  </sheetViews>
  <sheetFormatPr defaultRowHeight="15" x14ac:dyDescent="0.25"/>
  <cols>
    <col min="1" max="1" width="22.28515625" bestFit="1" customWidth="1"/>
    <col min="3" max="4" width="10.5703125" bestFit="1" customWidth="1"/>
    <col min="5" max="5" width="53" bestFit="1" customWidth="1"/>
    <col min="6" max="6" width="38.7109375" bestFit="1" customWidth="1"/>
    <col min="7" max="7" width="18.140625" bestFit="1" customWidth="1"/>
    <col min="8" max="8" width="10.42578125" bestFit="1" customWidth="1"/>
    <col min="9" max="9" width="22.28515625" bestFit="1" customWidth="1"/>
  </cols>
  <sheetData>
    <row r="1" spans="1:9" ht="26.25" x14ac:dyDescent="0.4">
      <c r="A1" s="1" t="s">
        <v>0</v>
      </c>
      <c r="B1" s="1"/>
      <c r="C1" s="1"/>
      <c r="D1" s="1"/>
      <c r="E1" s="1"/>
      <c r="F1" s="1"/>
      <c r="G1" s="1"/>
      <c r="H1" s="1"/>
      <c r="I1" s="1"/>
    </row>
    <row r="3" spans="1:9" ht="26.25" x14ac:dyDescent="0.4">
      <c r="A3" s="1" t="s">
        <v>17</v>
      </c>
      <c r="B3" s="1"/>
      <c r="C3" s="1"/>
      <c r="D3" s="1"/>
      <c r="E3" s="1"/>
      <c r="F3" s="3" t="s">
        <v>24</v>
      </c>
      <c r="G3" s="4">
        <f xml:space="preserve"> SUM(C5:C12)</f>
        <v>5.8323999999999998</v>
      </c>
      <c r="H3" s="3" t="s">
        <v>18</v>
      </c>
      <c r="I3" s="4">
        <f xml:space="preserve"> SUM(D5:D12)</f>
        <v>194.40000000000003</v>
      </c>
    </row>
    <row r="4" spans="1:9" x14ac:dyDescent="0.25">
      <c r="A4" t="s">
        <v>1</v>
      </c>
      <c r="B4" t="s">
        <v>3</v>
      </c>
      <c r="C4" t="s">
        <v>2</v>
      </c>
      <c r="D4" t="s">
        <v>4</v>
      </c>
      <c r="E4" t="s">
        <v>5</v>
      </c>
      <c r="F4" t="s">
        <v>7</v>
      </c>
    </row>
    <row r="5" spans="1:9" x14ac:dyDescent="0.25">
      <c r="A5" t="s">
        <v>6</v>
      </c>
      <c r="B5">
        <v>100</v>
      </c>
      <c r="C5" s="5">
        <f>41.1 / 100</f>
        <v>0.41100000000000003</v>
      </c>
      <c r="D5" s="2">
        <f xml:space="preserve"> B5 * C5</f>
        <v>41.1</v>
      </c>
      <c r="E5" t="s">
        <v>8</v>
      </c>
      <c r="F5" t="s">
        <v>9</v>
      </c>
    </row>
    <row r="6" spans="1:9" x14ac:dyDescent="0.25">
      <c r="A6" t="s">
        <v>13</v>
      </c>
      <c r="B6">
        <v>0</v>
      </c>
      <c r="C6">
        <v>0</v>
      </c>
      <c r="D6" s="2">
        <f t="shared" ref="D6:D18" si="0" xml:space="preserve"> B6 * C6</f>
        <v>0</v>
      </c>
      <c r="F6" t="s">
        <v>10</v>
      </c>
    </row>
    <row r="7" spans="1:9" x14ac:dyDescent="0.25">
      <c r="A7" t="s">
        <v>12</v>
      </c>
      <c r="B7">
        <v>100</v>
      </c>
      <c r="C7" s="5">
        <f xml:space="preserve"> 28.82 /  100</f>
        <v>0.28820000000000001</v>
      </c>
      <c r="D7" s="2">
        <f t="shared" si="0"/>
        <v>28.82</v>
      </c>
      <c r="E7" t="s">
        <v>11</v>
      </c>
      <c r="F7" t="s">
        <v>9</v>
      </c>
    </row>
    <row r="8" spans="1:9" x14ac:dyDescent="0.25">
      <c r="A8" t="s">
        <v>14</v>
      </c>
      <c r="B8">
        <v>0</v>
      </c>
      <c r="C8" s="5">
        <f t="shared" ref="C8:C10" si="1" xml:space="preserve"> 28.82 /  100</f>
        <v>0.28820000000000001</v>
      </c>
      <c r="D8" s="2">
        <f t="shared" si="0"/>
        <v>0</v>
      </c>
      <c r="F8" t="s">
        <v>15</v>
      </c>
    </row>
    <row r="9" spans="1:9" x14ac:dyDescent="0.25">
      <c r="A9" t="s">
        <v>16</v>
      </c>
      <c r="B9">
        <v>0</v>
      </c>
      <c r="C9" s="5">
        <f t="shared" si="1"/>
        <v>0.28820000000000001</v>
      </c>
      <c r="D9" s="2">
        <f t="shared" si="0"/>
        <v>0</v>
      </c>
      <c r="F9" t="s">
        <v>15</v>
      </c>
    </row>
    <row r="10" spans="1:9" x14ac:dyDescent="0.25">
      <c r="A10" t="s">
        <v>19</v>
      </c>
      <c r="B10">
        <v>100</v>
      </c>
      <c r="C10" s="5">
        <f xml:space="preserve"> 87.68 /  100</f>
        <v>0.87680000000000002</v>
      </c>
      <c r="D10" s="2">
        <f t="shared" si="0"/>
        <v>87.68</v>
      </c>
      <c r="E10" t="s">
        <v>20</v>
      </c>
      <c r="F10" t="s">
        <v>9</v>
      </c>
    </row>
    <row r="11" spans="1:9" x14ac:dyDescent="0.25">
      <c r="A11" t="s">
        <v>22</v>
      </c>
      <c r="B11">
        <v>10</v>
      </c>
      <c r="C11" s="5">
        <f xml:space="preserve"> 36.8 / 10</f>
        <v>3.6799999999999997</v>
      </c>
      <c r="D11" s="2">
        <f t="shared" si="0"/>
        <v>36.799999999999997</v>
      </c>
      <c r="E11" t="s">
        <v>21</v>
      </c>
      <c r="F11" t="s">
        <v>23</v>
      </c>
    </row>
    <row r="12" spans="1:9" x14ac:dyDescent="0.25">
      <c r="C12" s="5"/>
      <c r="D12" s="2"/>
    </row>
    <row r="13" spans="1:9" x14ac:dyDescent="0.25">
      <c r="C13" s="5"/>
      <c r="D13" s="2"/>
    </row>
    <row r="14" spans="1:9" x14ac:dyDescent="0.25">
      <c r="C14" s="5"/>
      <c r="D14" s="2"/>
    </row>
    <row r="15" spans="1:9" x14ac:dyDescent="0.25">
      <c r="C15" s="5"/>
      <c r="D15" s="2"/>
    </row>
    <row r="16" spans="1:9" x14ac:dyDescent="0.25">
      <c r="C16" s="5"/>
      <c r="D16" s="2"/>
    </row>
    <row r="17" spans="3:4" x14ac:dyDescent="0.25">
      <c r="C17" s="5"/>
      <c r="D17" s="2"/>
    </row>
    <row r="18" spans="3:4" x14ac:dyDescent="0.25">
      <c r="C18" s="5"/>
      <c r="D18" s="2"/>
    </row>
    <row r="19" spans="3:4" x14ac:dyDescent="0.25">
      <c r="C19" s="5"/>
    </row>
  </sheetData>
  <mergeCells count="2">
    <mergeCell ref="A3:E3"/>
    <mergeCell ref="A1:I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Jesper Hellström</dc:creator>
  <cp:lastModifiedBy>Jesper Hellström</cp:lastModifiedBy>
  <dcterms:created xsi:type="dcterms:W3CDTF">2026-07-29T19:47:30Z</dcterms:created>
  <dcterms:modified xsi:type="dcterms:W3CDTF">2026-07-29T20:27:35Z</dcterms:modified>
</cp:coreProperties>
</file>