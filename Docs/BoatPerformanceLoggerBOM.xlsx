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pe\Documents\PlatformIO\Projects\BoatPerformanceLogger\Docs\"/>
    </mc:Choice>
  </mc:AlternateContent>
  <xr:revisionPtr revIDLastSave="0" documentId="13_ncr:1_{039E18A9-7CB3-4C3F-A637-1DD84C205517}" xr6:coauthVersionLast="47" xr6:coauthVersionMax="47" xr10:uidLastSave="{00000000-0000-0000-0000-000000000000}"/>
  <bookViews>
    <workbookView xWindow="-120" yWindow="-120" windowWidth="38640" windowHeight="21120" xr2:uid="{D7228C54-2EA5-4596-A6B2-9B57DAF4E7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" i="1" l="1"/>
  <c r="I1" i="1"/>
  <c r="C35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G33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17" i="1"/>
  <c r="G15" i="1"/>
  <c r="I3" i="1"/>
  <c r="G3" i="1"/>
  <c r="C10" i="1"/>
  <c r="D10" i="1" s="1"/>
  <c r="C8" i="1"/>
  <c r="C9" i="1"/>
  <c r="D8" i="1"/>
  <c r="D9" i="1"/>
  <c r="C7" i="1"/>
  <c r="D7" i="1" s="1"/>
  <c r="D6" i="1"/>
  <c r="C5" i="1"/>
  <c r="D5" i="1"/>
  <c r="I33" i="1" l="1"/>
  <c r="I15" i="1"/>
</calcChain>
</file>

<file path=xl/sharedStrings.xml><?xml version="1.0" encoding="utf-8"?>
<sst xmlns="http://schemas.openxmlformats.org/spreadsheetml/2006/main" count="65" uniqueCount="37">
  <si>
    <t>BoatPerformanceLogger - PlutoidEngineering</t>
  </si>
  <si>
    <t>Produkt</t>
  </si>
  <si>
    <t>Pris</t>
  </si>
  <si>
    <t>Antal</t>
  </si>
  <si>
    <t>Totalt</t>
  </si>
  <si>
    <t>Länk</t>
  </si>
  <si>
    <t>Optokopplare PC817</t>
  </si>
  <si>
    <t>Kommentar</t>
  </si>
  <si>
    <t>https://www.aliexpress.com/item/1005009749319357.html</t>
  </si>
  <si>
    <t>100 pack</t>
  </si>
  <si>
    <t>Har hemma. Prova med 1K, 2.2K, 4.7K, 10K</t>
  </si>
  <si>
    <t>https://www.aliexpress.com/item/32887622491.html</t>
  </si>
  <si>
    <t>Zenerdiod 5.6v</t>
  </si>
  <si>
    <t>Motstånd Optokopplare</t>
  </si>
  <si>
    <t>Pullup motstånd 10K</t>
  </si>
  <si>
    <t>Har hemma.</t>
  </si>
  <si>
    <t>Seriemotstånd 1K (ESP)</t>
  </si>
  <si>
    <t>Inköpslista - RPM</t>
  </si>
  <si>
    <t>Total:</t>
  </si>
  <si>
    <t>Kondensator RC-filter (ESP)</t>
  </si>
  <si>
    <t>https://www.aliexpress.com/item/1005007539739970.html</t>
  </si>
  <si>
    <t>Styck:</t>
  </si>
  <si>
    <t>Inköpslista - Dash</t>
  </si>
  <si>
    <t>TL-WN725N</t>
  </si>
  <si>
    <t>https://www.amazon.se/dp/B008IFXQFU</t>
  </si>
  <si>
    <t>Wifi Dongel för wifi mot telefon</t>
  </si>
  <si>
    <t>Status</t>
  </si>
  <si>
    <t>Beställd</t>
  </si>
  <si>
    <t>https://www.aliexpress.com/item/1005008786526339.html</t>
  </si>
  <si>
    <t>7" LCD IPS Screen</t>
  </si>
  <si>
    <t>HDMI Skärm</t>
  </si>
  <si>
    <t>Inköpslista - SensorESP</t>
  </si>
  <si>
    <t>ESP32-S3</t>
  </si>
  <si>
    <t>https://www.amazon.se/dp/B0FZGSR8NS</t>
  </si>
  <si>
    <t>Passiv kylning till RPI</t>
  </si>
  <si>
    <t>Behöver hitta en lämplig modell</t>
  </si>
  <si>
    <t>Oklart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</si>
</sst>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_-[$SEK]\ * #,##0.00_-;\-[$SEK]\ * #,##0.00_-;_-[$SEK]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2" fillId="2" borderId="0" xfId="0" applyFont="1" applyFill="1"/>
    <xf numFmtId="164" fontId="2" fillId="2" borderId="0" xfId="0" applyNumberFormat="1" applyFont="1" applyFill="1"/>
    <xf numFmtId="164" fontId="0" fillId="0" borderId="0" xfId="1" applyNumberFormat="1" applyFont="1"/>
    <xf numFmtId="0" fontId="3" fillId="0" borderId="0" xfId="2"/>
    <xf numFmtId="0" fontId="2" fillId="2" borderId="0" xfId="0" applyFont="1" applyFill="1" applyAlignment="1">
      <alignment horizontal="center"/>
    </xf>
    <xf numFmtId="0" fontId="2" fillId="2" borderId="0" xfId="0" applyFont="1" applyFill="1" applyAlignment="1"/>
    <xf numFmtId="164" fontId="2" fillId="2" borderId="0" xfId="0" applyNumberFormat="1" applyFont="1" applyFill="1" applyAlignme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32887622491.html" TargetMode="External"/><Relationship Id="rId2" Type="http://schemas.openxmlformats.org/officeDocument/2006/relationships/hyperlink" Target="https://www.aliexpress.com/item/1005009749319357.html" TargetMode="External"/><Relationship Id="rId1" Type="http://schemas.openxmlformats.org/officeDocument/2006/relationships/hyperlink" Target="https://www.amazon.se/dp/B008IFXQFU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aliexpress.com/item/100500753973997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0C6E-83BB-40B4-9912-9C1BD6C95FB8}">
  <dimension ref="A1:I49"/>
  <sheetViews>
    <sheetView tabSelected="1" workbookViewId="0">
      <selection activeCell="T23" sqref="T23"/>
    </sheetView>
  </sheetViews>
  <sheetFormatPr defaultRowHeight="15" x14ac:dyDescent="0.25"/>
  <cols>
    <col min="1" max="1" width="22.28515625" bestFit="1" customWidth="1"/>
    <col min="3" max="3" width="11.5703125" bestFit="1" customWidth="1"/>
    <col min="4" max="4" width="14.5703125" customWidth="1"/>
    <col min="5" max="5" width="53" bestFit="1" customWidth="1"/>
    <col min="6" max="6" width="38.7109375" bestFit="1" customWidth="1"/>
    <col min="7" max="7" width="23.7109375" customWidth="1"/>
    <col min="8" max="8" width="10.42578125" bestFit="1" customWidth="1"/>
    <col min="9" max="9" width="22.28515625" bestFit="1" customWidth="1"/>
  </cols>
  <sheetData>
    <row r="1" spans="1:9" ht="26.25" x14ac:dyDescent="0.4">
      <c r="A1" s="6" t="s">
        <v>0</v>
      </c>
      <c r="B1" s="6"/>
      <c r="C1" s="6"/>
      <c r="D1" s="6"/>
      <c r="E1" s="6"/>
      <c r="F1" s="2" t="s">
        <v>21</v>
      </c>
      <c r="G1" s="8">
        <f xml:space="preserve"> SUM(G3:G100)</f>
        <v>565.5924</v>
      </c>
      <c r="H1" s="7" t="s">
        <v>18</v>
      </c>
      <c r="I1" s="8">
        <f xml:space="preserve"> SUM(I3:I100)</f>
        <v>819.04</v>
      </c>
    </row>
    <row r="3" spans="1:9" ht="26.25" x14ac:dyDescent="0.4">
      <c r="A3" s="6" t="s">
        <v>17</v>
      </c>
      <c r="B3" s="6"/>
      <c r="C3" s="6"/>
      <c r="D3" s="6"/>
      <c r="E3" s="6"/>
      <c r="F3" s="2" t="s">
        <v>21</v>
      </c>
      <c r="G3" s="3">
        <f xml:space="preserve"> SUM(C5:C12)</f>
        <v>2.1524000000000001</v>
      </c>
      <c r="H3" s="2" t="s">
        <v>18</v>
      </c>
      <c r="I3" s="3">
        <f xml:space="preserve"> SUM(D5:D12)</f>
        <v>157.60000000000002</v>
      </c>
    </row>
    <row r="4" spans="1:9" x14ac:dyDescent="0.25">
      <c r="A4" t="s">
        <v>1</v>
      </c>
      <c r="B4" t="s">
        <v>3</v>
      </c>
      <c r="C4" t="s">
        <v>2</v>
      </c>
      <c r="D4" t="s">
        <v>4</v>
      </c>
      <c r="E4" t="s">
        <v>5</v>
      </c>
      <c r="F4" t="s">
        <v>7</v>
      </c>
      <c r="G4" t="s">
        <v>26</v>
      </c>
    </row>
    <row r="5" spans="1:9" x14ac:dyDescent="0.25">
      <c r="A5" t="s">
        <v>6</v>
      </c>
      <c r="B5">
        <v>100</v>
      </c>
      <c r="C5" s="4">
        <f>41.1 / 100</f>
        <v>0.41100000000000003</v>
      </c>
      <c r="D5" s="1">
        <f xml:space="preserve"> B5 * C5</f>
        <v>41.1</v>
      </c>
      <c r="E5" s="5" t="s">
        <v>8</v>
      </c>
      <c r="F5" t="s">
        <v>9</v>
      </c>
      <c r="G5" t="s">
        <v>27</v>
      </c>
    </row>
    <row r="6" spans="1:9" x14ac:dyDescent="0.25">
      <c r="A6" t="s">
        <v>13</v>
      </c>
      <c r="B6">
        <v>0</v>
      </c>
      <c r="C6">
        <v>0</v>
      </c>
      <c r="D6" s="1">
        <f t="shared" ref="D6:D10" si="0" xml:space="preserve"> B6 * C6</f>
        <v>0</v>
      </c>
      <c r="F6" t="s">
        <v>10</v>
      </c>
    </row>
    <row r="7" spans="1:9" x14ac:dyDescent="0.25">
      <c r="A7" t="s">
        <v>12</v>
      </c>
      <c r="B7">
        <v>100</v>
      </c>
      <c r="C7" s="4">
        <f xml:space="preserve"> 28.82 /  100</f>
        <v>0.28820000000000001</v>
      </c>
      <c r="D7" s="1">
        <f t="shared" si="0"/>
        <v>28.82</v>
      </c>
      <c r="E7" s="5" t="s">
        <v>11</v>
      </c>
      <c r="F7" t="s">
        <v>9</v>
      </c>
      <c r="G7" t="s">
        <v>27</v>
      </c>
    </row>
    <row r="8" spans="1:9" x14ac:dyDescent="0.25">
      <c r="A8" t="s">
        <v>14</v>
      </c>
      <c r="B8">
        <v>0</v>
      </c>
      <c r="C8" s="4">
        <f t="shared" ref="C8:C9" si="1" xml:space="preserve"> 28.82 /  100</f>
        <v>0.28820000000000001</v>
      </c>
      <c r="D8" s="1">
        <f t="shared" si="0"/>
        <v>0</v>
      </c>
      <c r="F8" t="s">
        <v>15</v>
      </c>
    </row>
    <row r="9" spans="1:9" x14ac:dyDescent="0.25">
      <c r="A9" t="s">
        <v>16</v>
      </c>
      <c r="B9">
        <v>0</v>
      </c>
      <c r="C9" s="4">
        <f t="shared" si="1"/>
        <v>0.28820000000000001</v>
      </c>
      <c r="D9" s="1">
        <f t="shared" si="0"/>
        <v>0</v>
      </c>
      <c r="F9" t="s">
        <v>15</v>
      </c>
    </row>
    <row r="10" spans="1:9" x14ac:dyDescent="0.25">
      <c r="A10" t="s">
        <v>19</v>
      </c>
      <c r="B10">
        <v>100</v>
      </c>
      <c r="C10" s="4">
        <f xml:space="preserve"> 87.68 /  100</f>
        <v>0.87680000000000002</v>
      </c>
      <c r="D10" s="1">
        <f t="shared" si="0"/>
        <v>87.68</v>
      </c>
      <c r="E10" s="5" t="s">
        <v>20</v>
      </c>
      <c r="F10" t="s">
        <v>9</v>
      </c>
      <c r="G10" t="s">
        <v>27</v>
      </c>
    </row>
    <row r="11" spans="1:9" x14ac:dyDescent="0.25">
      <c r="C11" s="4"/>
      <c r="D11" s="1"/>
      <c r="E11" s="5"/>
    </row>
    <row r="12" spans="1:9" x14ac:dyDescent="0.25">
      <c r="C12" s="4"/>
      <c r="D12" s="1"/>
    </row>
    <row r="13" spans="1:9" x14ac:dyDescent="0.25">
      <c r="C13" s="4"/>
      <c r="D13" s="1"/>
    </row>
    <row r="14" spans="1:9" x14ac:dyDescent="0.25">
      <c r="C14" s="4"/>
      <c r="D14" s="1"/>
    </row>
    <row r="15" spans="1:9" ht="26.25" x14ac:dyDescent="0.4">
      <c r="A15" s="6" t="s">
        <v>22</v>
      </c>
      <c r="B15" s="6"/>
      <c r="C15" s="6"/>
      <c r="D15" s="6"/>
      <c r="E15" s="6"/>
      <c r="F15" s="2" t="s">
        <v>21</v>
      </c>
      <c r="G15" s="3">
        <f xml:space="preserve"> SUM(C17:C24)</f>
        <v>465.44</v>
      </c>
      <c r="H15" s="2" t="s">
        <v>18</v>
      </c>
      <c r="I15" s="3">
        <f xml:space="preserve"> SUM(D17:D24)</f>
        <v>465.44</v>
      </c>
    </row>
    <row r="16" spans="1:9" x14ac:dyDescent="0.25">
      <c r="A16" t="s">
        <v>1</v>
      </c>
      <c r="B16" t="s">
        <v>3</v>
      </c>
      <c r="C16" t="s">
        <v>2</v>
      </c>
      <c r="D16" t="s">
        <v>4</v>
      </c>
      <c r="E16" t="s">
        <v>5</v>
      </c>
      <c r="F16" t="s">
        <v>7</v>
      </c>
      <c r="G16" t="s">
        <v>26</v>
      </c>
    </row>
    <row r="17" spans="1:7" x14ac:dyDescent="0.25">
      <c r="A17" t="s">
        <v>23</v>
      </c>
      <c r="B17">
        <v>1</v>
      </c>
      <c r="C17" s="4">
        <v>99</v>
      </c>
      <c r="D17" s="1">
        <f t="shared" ref="D17:D31" si="2" xml:space="preserve"> B17 * C17</f>
        <v>99</v>
      </c>
      <c r="E17" s="5" t="s">
        <v>24</v>
      </c>
      <c r="F17" t="s">
        <v>25</v>
      </c>
      <c r="G17" t="s">
        <v>27</v>
      </c>
    </row>
    <row r="18" spans="1:7" x14ac:dyDescent="0.25">
      <c r="A18" t="s">
        <v>29</v>
      </c>
      <c r="B18">
        <v>1</v>
      </c>
      <c r="C18" s="4">
        <v>366.44</v>
      </c>
      <c r="D18" s="1">
        <f t="shared" si="2"/>
        <v>366.44</v>
      </c>
      <c r="E18" t="s">
        <v>28</v>
      </c>
      <c r="F18" t="s">
        <v>30</v>
      </c>
      <c r="G18" t="s">
        <v>27</v>
      </c>
    </row>
    <row r="19" spans="1:7" x14ac:dyDescent="0.25">
      <c r="A19" t="s">
        <v>34</v>
      </c>
      <c r="C19" s="4"/>
      <c r="D19" s="1">
        <f t="shared" si="2"/>
        <v>0</v>
      </c>
      <c r="F19" t="s">
        <v>35</v>
      </c>
      <c r="G19" t="s">
        <v>36</v>
      </c>
    </row>
    <row r="20" spans="1:7" x14ac:dyDescent="0.25">
      <c r="C20" s="4"/>
      <c r="D20" s="1">
        <f t="shared" si="2"/>
        <v>0</v>
      </c>
    </row>
    <row r="21" spans="1:7" x14ac:dyDescent="0.25">
      <c r="C21" s="4"/>
      <c r="D21" s="1">
        <f t="shared" si="2"/>
        <v>0</v>
      </c>
    </row>
    <row r="22" spans="1:7" x14ac:dyDescent="0.25">
      <c r="C22" s="4"/>
      <c r="D22" s="1">
        <f t="shared" si="2"/>
        <v>0</v>
      </c>
    </row>
    <row r="23" spans="1:7" x14ac:dyDescent="0.25">
      <c r="C23" s="4"/>
      <c r="D23" s="1">
        <f t="shared" si="2"/>
        <v>0</v>
      </c>
    </row>
    <row r="24" spans="1:7" x14ac:dyDescent="0.25">
      <c r="C24" s="4"/>
      <c r="D24" s="1">
        <f t="shared" si="2"/>
        <v>0</v>
      </c>
    </row>
    <row r="25" spans="1:7" x14ac:dyDescent="0.25">
      <c r="C25" s="4"/>
      <c r="D25" s="1">
        <f t="shared" si="2"/>
        <v>0</v>
      </c>
    </row>
    <row r="26" spans="1:7" x14ac:dyDescent="0.25">
      <c r="C26" s="4"/>
      <c r="D26" s="1">
        <f t="shared" si="2"/>
        <v>0</v>
      </c>
    </row>
    <row r="27" spans="1:7" x14ac:dyDescent="0.25">
      <c r="C27" s="4"/>
      <c r="D27" s="1">
        <f t="shared" si="2"/>
        <v>0</v>
      </c>
    </row>
    <row r="28" spans="1:7" x14ac:dyDescent="0.25">
      <c r="C28" s="4"/>
      <c r="D28" s="1">
        <f t="shared" si="2"/>
        <v>0</v>
      </c>
    </row>
    <row r="29" spans="1:7" x14ac:dyDescent="0.25">
      <c r="C29" s="4"/>
      <c r="D29" s="1">
        <f t="shared" si="2"/>
        <v>0</v>
      </c>
    </row>
    <row r="30" spans="1:7" x14ac:dyDescent="0.25">
      <c r="C30" s="4"/>
      <c r="D30" s="1">
        <f t="shared" si="2"/>
        <v>0</v>
      </c>
    </row>
    <row r="31" spans="1:7" x14ac:dyDescent="0.25">
      <c r="C31" s="4"/>
      <c r="D31" s="1">
        <f t="shared" si="2"/>
        <v>0</v>
      </c>
    </row>
    <row r="33" spans="1:9" ht="26.25" x14ac:dyDescent="0.4">
      <c r="A33" s="6" t="s">
        <v>31</v>
      </c>
      <c r="B33" s="6"/>
      <c r="C33" s="6"/>
      <c r="D33" s="6"/>
      <c r="E33" s="6"/>
      <c r="F33" s="2" t="s">
        <v>21</v>
      </c>
      <c r="G33" s="3">
        <f xml:space="preserve"> SUM(C35:C42)</f>
        <v>98</v>
      </c>
      <c r="H33" s="2" t="s">
        <v>18</v>
      </c>
      <c r="I33" s="3">
        <f xml:space="preserve"> SUM(D35:D42)</f>
        <v>196</v>
      </c>
    </row>
    <row r="34" spans="1:9" x14ac:dyDescent="0.25">
      <c r="A34" t="s">
        <v>1</v>
      </c>
      <c r="B34" t="s">
        <v>3</v>
      </c>
      <c r="C34" t="s">
        <v>2</v>
      </c>
      <c r="D34" t="s">
        <v>4</v>
      </c>
      <c r="E34" t="s">
        <v>5</v>
      </c>
      <c r="F34" t="s">
        <v>7</v>
      </c>
      <c r="G34" t="s">
        <v>26</v>
      </c>
    </row>
    <row r="35" spans="1:9" x14ac:dyDescent="0.25">
      <c r="A35" t="s">
        <v>32</v>
      </c>
      <c r="B35">
        <v>2</v>
      </c>
      <c r="C35" s="4">
        <f xml:space="preserve"> 196 / 2</f>
        <v>98</v>
      </c>
      <c r="D35" s="1">
        <f t="shared" ref="D35:D49" si="3" xml:space="preserve"> B35 * C35</f>
        <v>196</v>
      </c>
      <c r="E35" s="5" t="s">
        <v>33</v>
      </c>
      <c r="G35" t="s">
        <v>27</v>
      </c>
    </row>
    <row r="36" spans="1:9" x14ac:dyDescent="0.25">
      <c r="B36">
        <v>1</v>
      </c>
      <c r="C36" s="4"/>
      <c r="D36" s="1">
        <f t="shared" si="3"/>
        <v>0</v>
      </c>
    </row>
    <row r="37" spans="1:9" x14ac:dyDescent="0.25">
      <c r="C37" s="4"/>
      <c r="D37" s="1">
        <f t="shared" si="3"/>
        <v>0</v>
      </c>
    </row>
    <row r="38" spans="1:9" x14ac:dyDescent="0.25">
      <c r="C38" s="4"/>
      <c r="D38" s="1">
        <f t="shared" si="3"/>
        <v>0</v>
      </c>
    </row>
    <row r="39" spans="1:9" x14ac:dyDescent="0.25">
      <c r="C39" s="4"/>
      <c r="D39" s="1">
        <f t="shared" si="3"/>
        <v>0</v>
      </c>
    </row>
    <row r="40" spans="1:9" x14ac:dyDescent="0.25">
      <c r="C40" s="4"/>
      <c r="D40" s="1">
        <f t="shared" si="3"/>
        <v>0</v>
      </c>
    </row>
    <row r="41" spans="1:9" x14ac:dyDescent="0.25">
      <c r="C41" s="4"/>
      <c r="D41" s="1">
        <f t="shared" si="3"/>
        <v>0</v>
      </c>
    </row>
    <row r="42" spans="1:9" x14ac:dyDescent="0.25">
      <c r="C42" s="4"/>
      <c r="D42" s="1">
        <f t="shared" si="3"/>
        <v>0</v>
      </c>
    </row>
    <row r="43" spans="1:9" x14ac:dyDescent="0.25">
      <c r="C43" s="4"/>
      <c r="D43" s="1">
        <f t="shared" si="3"/>
        <v>0</v>
      </c>
    </row>
    <row r="44" spans="1:9" x14ac:dyDescent="0.25">
      <c r="C44" s="4"/>
      <c r="D44" s="1">
        <f t="shared" si="3"/>
        <v>0</v>
      </c>
    </row>
    <row r="45" spans="1:9" x14ac:dyDescent="0.25">
      <c r="C45" s="4"/>
      <c r="D45" s="1">
        <f t="shared" si="3"/>
        <v>0</v>
      </c>
    </row>
    <row r="46" spans="1:9" x14ac:dyDescent="0.25">
      <c r="C46" s="4"/>
      <c r="D46" s="1">
        <f t="shared" si="3"/>
        <v>0</v>
      </c>
    </row>
    <row r="47" spans="1:9" x14ac:dyDescent="0.25">
      <c r="C47" s="4"/>
      <c r="D47" s="1">
        <f t="shared" si="3"/>
        <v>0</v>
      </c>
    </row>
    <row r="48" spans="1:9" x14ac:dyDescent="0.25">
      <c r="C48" s="4"/>
      <c r="D48" s="1">
        <f t="shared" si="3"/>
        <v>0</v>
      </c>
    </row>
    <row r="49" spans="3:4" x14ac:dyDescent="0.25">
      <c r="C49" s="4"/>
      <c r="D49" s="1">
        <f t="shared" si="3"/>
        <v>0</v>
      </c>
    </row>
  </sheetData>
  <mergeCells count="4">
    <mergeCell ref="A3:E3"/>
    <mergeCell ref="A15:E15"/>
    <mergeCell ref="A33:E33"/>
    <mergeCell ref="A1:E1"/>
  </mergeCells>
  <hyperlinks>
    <hyperlink ref="E17" r:id="rId1" xr:uid="{F4341D42-1AAE-45D4-B49B-10212614FE39}"/>
    <hyperlink ref="E5" r:id="rId2" xr:uid="{46B467A7-3E81-498D-8000-045AC0C33F35}"/>
    <hyperlink ref="E7" r:id="rId3" xr:uid="{09DC2EAF-84BE-457D-8C60-4677DEC9EB1C}"/>
    <hyperlink ref="E10" r:id="rId4" xr:uid="{9539FFEC-37D8-4815-BAE5-3A6B055E8E6E}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Jesper Hellström</dc:creator>
  <cp:lastModifiedBy>Jesper Hellström</cp:lastModifiedBy>
  <dcterms:created xsi:type="dcterms:W3CDTF">2026-07-29T19:47:30Z</dcterms:created>
  <dcterms:modified xsi:type="dcterms:W3CDTF">2026-07-30T19:32:03Z</dcterms:modified>
</cp:coreProperties>
</file>