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pe\Documents\PlatformIO\Projects\BoatPerformanceLogger\Docs\"/>
    </mc:Choice>
  </mc:AlternateContent>
  <xr:revisionPtr revIDLastSave="0" documentId="13_ncr:1_{6102CA40-63B4-4602-906A-1E3E9B27F91A}" xr6:coauthVersionLast="47" xr6:coauthVersionMax="47" xr10:uidLastSave="{00000000-0000-0000-0000-000000000000}"/>
  <bookViews>
    <workbookView xWindow="-28920" yWindow="-120" windowWidth="29040" windowHeight="15720" xr2:uid="{D7228C54-2EA5-4596-A6B2-9B57DAF4E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17" i="1"/>
  <c r="G15" i="1"/>
  <c r="I3" i="1"/>
  <c r="G3" i="1"/>
  <c r="C10" i="1"/>
  <c r="D10" i="1" s="1"/>
  <c r="C8" i="1"/>
  <c r="C9" i="1"/>
  <c r="D8" i="1"/>
  <c r="D9" i="1"/>
  <c r="C7" i="1"/>
  <c r="D7" i="1" s="1"/>
  <c r="D6" i="1"/>
  <c r="C5" i="1"/>
  <c r="D5" i="1"/>
  <c r="I15" i="1" l="1"/>
</calcChain>
</file>

<file path=xl/sharedStrings.xml><?xml version="1.0" encoding="utf-8"?>
<sst xmlns="http://schemas.openxmlformats.org/spreadsheetml/2006/main" count="47" uniqueCount="31">
  <si>
    <t>BoatPerformanceLogger - PlutoidEngineering</t>
  </si>
  <si>
    <t>Produkt</t>
  </si>
  <si>
    <t>Pris</t>
  </si>
  <si>
    <t>Antal</t>
  </si>
  <si>
    <t>Totalt</t>
  </si>
  <si>
    <t>Länk</t>
  </si>
  <si>
    <t>Optokopplare PC817</t>
  </si>
  <si>
    <t>Kommentar</t>
  </si>
  <si>
    <t>https://www.aliexpress.com/item/1005009749319357.html</t>
  </si>
  <si>
    <t>100 pack</t>
  </si>
  <si>
    <t>Har hemma. Prova med 1K, 2.2K, 4.7K, 10K</t>
  </si>
  <si>
    <t>https://www.aliexpress.com/item/32887622491.html</t>
  </si>
  <si>
    <t>Zenerdiod 5.6v</t>
  </si>
  <si>
    <t>Motstånd Optokopplare</t>
  </si>
  <si>
    <t>Pullup motstånd 10K</t>
  </si>
  <si>
    <t>Har hemma.</t>
  </si>
  <si>
    <t>Seriemotstånd 1K (ESP)</t>
  </si>
  <si>
    <t>Inköpslista - RPM</t>
  </si>
  <si>
    <t>Total:</t>
  </si>
  <si>
    <t>Kondensator RC-filter (ESP)</t>
  </si>
  <si>
    <t>https://www.aliexpress.com/item/1005007539739970.html</t>
  </si>
  <si>
    <t>Styck:</t>
  </si>
  <si>
    <t>Inköpslista - Dash</t>
  </si>
  <si>
    <t>TL-WN725N</t>
  </si>
  <si>
    <t>https://www.amazon.se/dp/B008IFXQFU</t>
  </si>
  <si>
    <t>Wifi Dongel för wifi mot telefon</t>
  </si>
  <si>
    <t>Status</t>
  </si>
  <si>
    <t>Beställd</t>
  </si>
  <si>
    <t>https://www.aliexpress.com/item/1005008786526339.html</t>
  </si>
  <si>
    <t>7" LCD IPS Screen</t>
  </si>
  <si>
    <t>HDMI Skärm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</si>
</sst>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SEK]\ * #,##0.00_-;\-[$SEK]\ * #,##0.00_-;_-[$SEK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2" borderId="0" xfId="0" applyFont="1" applyFill="1"/>
    <xf numFmtId="164" fontId="2" fillId="2" borderId="0" xfId="0" applyNumberFormat="1" applyFont="1" applyFill="1"/>
    <xf numFmtId="164" fontId="0" fillId="0" borderId="0" xfId="1" applyNumberFormat="1" applyFont="1"/>
    <xf numFmtId="0" fontId="2" fillId="2" borderId="0" xfId="0" applyFont="1" applyFill="1" applyAlignment="1">
      <alignment horizontal="center"/>
    </xf>
    <xf numFmtId="0" fontId="3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32887622491.html" TargetMode="External"/><Relationship Id="rId2" Type="http://schemas.openxmlformats.org/officeDocument/2006/relationships/hyperlink" Target="https://www.aliexpress.com/item/1005009749319357.html" TargetMode="External"/><Relationship Id="rId1" Type="http://schemas.openxmlformats.org/officeDocument/2006/relationships/hyperlink" Target="https://www.amazon.se/dp/B008IFXQF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liexpress.com/item/10050075397399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0C6E-83BB-40B4-9912-9C1BD6C95FB8}">
  <dimension ref="A1:I31"/>
  <sheetViews>
    <sheetView tabSelected="1" workbookViewId="0">
      <selection activeCell="I10" sqref="I10"/>
    </sheetView>
  </sheetViews>
  <sheetFormatPr defaultRowHeight="15" x14ac:dyDescent="0.25"/>
  <cols>
    <col min="1" max="1" width="22.28515625" bestFit="1" customWidth="1"/>
    <col min="3" max="3" width="11.5703125" bestFit="1" customWidth="1"/>
    <col min="4" max="4" width="14.5703125" customWidth="1"/>
    <col min="5" max="5" width="53" bestFit="1" customWidth="1"/>
    <col min="6" max="6" width="38.7109375" bestFit="1" customWidth="1"/>
    <col min="7" max="7" width="23.7109375" customWidth="1"/>
    <col min="8" max="8" width="10.42578125" bestFit="1" customWidth="1"/>
    <col min="9" max="9" width="22.28515625" bestFit="1" customWidth="1"/>
  </cols>
  <sheetData>
    <row r="1" spans="1:9" ht="26.25" x14ac:dyDescent="0.4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ht="26.25" x14ac:dyDescent="0.4">
      <c r="A3" s="5" t="s">
        <v>17</v>
      </c>
      <c r="B3" s="5"/>
      <c r="C3" s="5"/>
      <c r="D3" s="5"/>
      <c r="E3" s="5"/>
      <c r="F3" s="2" t="s">
        <v>21</v>
      </c>
      <c r="G3" s="3">
        <f xml:space="preserve"> SUM(C5:C12)</f>
        <v>2.1524000000000001</v>
      </c>
      <c r="H3" s="2" t="s">
        <v>18</v>
      </c>
      <c r="I3" s="3">
        <f xml:space="preserve"> SUM(D5:D12)</f>
        <v>157.60000000000002</v>
      </c>
    </row>
    <row r="4" spans="1:9" x14ac:dyDescent="0.25">
      <c r="A4" t="s">
        <v>1</v>
      </c>
      <c r="B4" t="s">
        <v>3</v>
      </c>
      <c r="C4" t="s">
        <v>2</v>
      </c>
      <c r="D4" t="s">
        <v>4</v>
      </c>
      <c r="E4" t="s">
        <v>5</v>
      </c>
      <c r="F4" t="s">
        <v>7</v>
      </c>
      <c r="G4" t="s">
        <v>26</v>
      </c>
    </row>
    <row r="5" spans="1:9" x14ac:dyDescent="0.25">
      <c r="A5" t="s">
        <v>6</v>
      </c>
      <c r="B5">
        <v>100</v>
      </c>
      <c r="C5" s="4">
        <f>41.1 / 100</f>
        <v>0.41100000000000003</v>
      </c>
      <c r="D5" s="1">
        <f xml:space="preserve"> B5 * C5</f>
        <v>41.1</v>
      </c>
      <c r="E5" s="6" t="s">
        <v>8</v>
      </c>
      <c r="F5" t="s">
        <v>9</v>
      </c>
      <c r="G5" t="s">
        <v>27</v>
      </c>
    </row>
    <row r="6" spans="1:9" x14ac:dyDescent="0.25">
      <c r="A6" t="s">
        <v>13</v>
      </c>
      <c r="B6">
        <v>0</v>
      </c>
      <c r="C6">
        <v>0</v>
      </c>
      <c r="D6" s="1">
        <f t="shared" ref="D6:D11" si="0" xml:space="preserve"> B6 * C6</f>
        <v>0</v>
      </c>
      <c r="F6" t="s">
        <v>10</v>
      </c>
    </row>
    <row r="7" spans="1:9" x14ac:dyDescent="0.25">
      <c r="A7" t="s">
        <v>12</v>
      </c>
      <c r="B7">
        <v>100</v>
      </c>
      <c r="C7" s="4">
        <f xml:space="preserve"> 28.82 /  100</f>
        <v>0.28820000000000001</v>
      </c>
      <c r="D7" s="1">
        <f t="shared" si="0"/>
        <v>28.82</v>
      </c>
      <c r="E7" s="6" t="s">
        <v>11</v>
      </c>
      <c r="F7" t="s">
        <v>9</v>
      </c>
      <c r="G7" t="s">
        <v>27</v>
      </c>
    </row>
    <row r="8" spans="1:9" x14ac:dyDescent="0.25">
      <c r="A8" t="s">
        <v>14</v>
      </c>
      <c r="B8">
        <v>0</v>
      </c>
      <c r="C8" s="4">
        <f t="shared" ref="C8:C9" si="1" xml:space="preserve"> 28.82 /  100</f>
        <v>0.28820000000000001</v>
      </c>
      <c r="D8" s="1">
        <f t="shared" si="0"/>
        <v>0</v>
      </c>
      <c r="F8" t="s">
        <v>15</v>
      </c>
    </row>
    <row r="9" spans="1:9" x14ac:dyDescent="0.25">
      <c r="A9" t="s">
        <v>16</v>
      </c>
      <c r="B9">
        <v>0</v>
      </c>
      <c r="C9" s="4">
        <f t="shared" si="1"/>
        <v>0.28820000000000001</v>
      </c>
      <c r="D9" s="1">
        <f t="shared" si="0"/>
        <v>0</v>
      </c>
      <c r="F9" t="s">
        <v>15</v>
      </c>
    </row>
    <row r="10" spans="1:9" x14ac:dyDescent="0.25">
      <c r="A10" t="s">
        <v>19</v>
      </c>
      <c r="B10">
        <v>100</v>
      </c>
      <c r="C10" s="4">
        <f xml:space="preserve"> 87.68 /  100</f>
        <v>0.87680000000000002</v>
      </c>
      <c r="D10" s="1">
        <f t="shared" si="0"/>
        <v>87.68</v>
      </c>
      <c r="E10" s="6" t="s">
        <v>20</v>
      </c>
      <c r="F10" t="s">
        <v>9</v>
      </c>
      <c r="G10" t="s">
        <v>27</v>
      </c>
    </row>
    <row r="11" spans="1:9" x14ac:dyDescent="0.25">
      <c r="C11" s="4"/>
      <c r="D11" s="1"/>
      <c r="E11" s="6"/>
    </row>
    <row r="12" spans="1:9" x14ac:dyDescent="0.25">
      <c r="C12" s="4"/>
      <c r="D12" s="1"/>
    </row>
    <row r="13" spans="1:9" x14ac:dyDescent="0.25">
      <c r="C13" s="4"/>
      <c r="D13" s="1"/>
    </row>
    <row r="14" spans="1:9" x14ac:dyDescent="0.25">
      <c r="C14" s="4"/>
      <c r="D14" s="1"/>
    </row>
    <row r="15" spans="1:9" ht="26.25" x14ac:dyDescent="0.4">
      <c r="A15" s="5" t="s">
        <v>22</v>
      </c>
      <c r="B15" s="5"/>
      <c r="C15" s="5"/>
      <c r="D15" s="5"/>
      <c r="E15" s="5"/>
      <c r="F15" s="2" t="s">
        <v>21</v>
      </c>
      <c r="G15" s="3">
        <f xml:space="preserve"> SUM(C17:C24)</f>
        <v>465.44</v>
      </c>
      <c r="H15" s="2" t="s">
        <v>18</v>
      </c>
      <c r="I15" s="3">
        <f xml:space="preserve"> SUM(D17:D24)</f>
        <v>465.44</v>
      </c>
    </row>
    <row r="16" spans="1:9" x14ac:dyDescent="0.25">
      <c r="A16" t="s">
        <v>1</v>
      </c>
      <c r="B16" t="s">
        <v>3</v>
      </c>
      <c r="C16" t="s">
        <v>2</v>
      </c>
      <c r="D16" t="s">
        <v>4</v>
      </c>
      <c r="E16" t="s">
        <v>5</v>
      </c>
      <c r="F16" t="s">
        <v>7</v>
      </c>
      <c r="G16" t="s">
        <v>26</v>
      </c>
    </row>
    <row r="17" spans="1:7" x14ac:dyDescent="0.25">
      <c r="A17" t="s">
        <v>23</v>
      </c>
      <c r="B17">
        <v>1</v>
      </c>
      <c r="C17" s="4">
        <v>99</v>
      </c>
      <c r="D17" s="1">
        <f t="shared" ref="D17:D31" si="2" xml:space="preserve"> B17 * C17</f>
        <v>99</v>
      </c>
      <c r="E17" s="6" t="s">
        <v>24</v>
      </c>
      <c r="F17" t="s">
        <v>25</v>
      </c>
      <c r="G17" t="s">
        <v>27</v>
      </c>
    </row>
    <row r="18" spans="1:7" x14ac:dyDescent="0.25">
      <c r="A18" t="s">
        <v>29</v>
      </c>
      <c r="B18">
        <v>1</v>
      </c>
      <c r="C18" s="4">
        <v>366.44</v>
      </c>
      <c r="D18" s="1">
        <f t="shared" si="2"/>
        <v>366.44</v>
      </c>
      <c r="E18" t="s">
        <v>28</v>
      </c>
      <c r="F18" t="s">
        <v>30</v>
      </c>
      <c r="G18" t="s">
        <v>27</v>
      </c>
    </row>
    <row r="19" spans="1:7" x14ac:dyDescent="0.25">
      <c r="C19" s="4"/>
      <c r="D19" s="1">
        <f t="shared" si="2"/>
        <v>0</v>
      </c>
    </row>
    <row r="20" spans="1:7" x14ac:dyDescent="0.25">
      <c r="C20" s="4"/>
      <c r="D20" s="1">
        <f t="shared" si="2"/>
        <v>0</v>
      </c>
    </row>
    <row r="21" spans="1:7" x14ac:dyDescent="0.25">
      <c r="C21" s="4"/>
      <c r="D21" s="1">
        <f t="shared" si="2"/>
        <v>0</v>
      </c>
    </row>
    <row r="22" spans="1:7" x14ac:dyDescent="0.25">
      <c r="C22" s="4"/>
      <c r="D22" s="1">
        <f t="shared" si="2"/>
        <v>0</v>
      </c>
    </row>
    <row r="23" spans="1:7" x14ac:dyDescent="0.25">
      <c r="C23" s="4"/>
      <c r="D23" s="1">
        <f t="shared" si="2"/>
        <v>0</v>
      </c>
    </row>
    <row r="24" spans="1:7" x14ac:dyDescent="0.25">
      <c r="C24" s="4"/>
      <c r="D24" s="1">
        <f t="shared" si="2"/>
        <v>0</v>
      </c>
    </row>
    <row r="25" spans="1:7" x14ac:dyDescent="0.25">
      <c r="C25" s="4"/>
      <c r="D25" s="1">
        <f t="shared" si="2"/>
        <v>0</v>
      </c>
    </row>
    <row r="26" spans="1:7" x14ac:dyDescent="0.25">
      <c r="C26" s="4"/>
      <c r="D26" s="1">
        <f t="shared" si="2"/>
        <v>0</v>
      </c>
    </row>
    <row r="27" spans="1:7" x14ac:dyDescent="0.25">
      <c r="C27" s="4"/>
      <c r="D27" s="1">
        <f t="shared" si="2"/>
        <v>0</v>
      </c>
    </row>
    <row r="28" spans="1:7" x14ac:dyDescent="0.25">
      <c r="C28" s="4"/>
      <c r="D28" s="1">
        <f t="shared" si="2"/>
        <v>0</v>
      </c>
    </row>
    <row r="29" spans="1:7" x14ac:dyDescent="0.25">
      <c r="C29" s="4"/>
      <c r="D29" s="1">
        <f t="shared" si="2"/>
        <v>0</v>
      </c>
    </row>
    <row r="30" spans="1:7" x14ac:dyDescent="0.25">
      <c r="C30" s="4"/>
      <c r="D30" s="1">
        <f t="shared" si="2"/>
        <v>0</v>
      </c>
    </row>
    <row r="31" spans="1:7" x14ac:dyDescent="0.25">
      <c r="C31" s="4"/>
      <c r="D31" s="1">
        <f t="shared" si="2"/>
        <v>0</v>
      </c>
    </row>
  </sheetData>
  <mergeCells count="3">
    <mergeCell ref="A3:E3"/>
    <mergeCell ref="A1:I1"/>
    <mergeCell ref="A15:E15"/>
  </mergeCells>
  <hyperlinks>
    <hyperlink ref="E17" r:id="rId1" xr:uid="{F4341D42-1AAE-45D4-B49B-10212614FE39}"/>
    <hyperlink ref="E5" r:id="rId2" xr:uid="{46B467A7-3E81-498D-8000-045AC0C33F35}"/>
    <hyperlink ref="E7" r:id="rId3" xr:uid="{09DC2EAF-84BE-457D-8C60-4677DEC9EB1C}"/>
    <hyperlink ref="E10" r:id="rId4" xr:uid="{9539FFEC-37D8-4815-BAE5-3A6B055E8E6E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Hellström</dc:creator>
  <cp:lastModifiedBy>Jesper Hellström</cp:lastModifiedBy>
  <dcterms:created xsi:type="dcterms:W3CDTF">2026-07-29T19:47:30Z</dcterms:created>
  <dcterms:modified xsi:type="dcterms:W3CDTF">2026-07-30T13:15:03Z</dcterms:modified>
</cp:coreProperties>
</file>